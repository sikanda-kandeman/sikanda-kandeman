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SUS\Downloads\2026\"/>
    </mc:Choice>
  </mc:AlternateContent>
  <xr:revisionPtr revIDLastSave="0" documentId="13_ncr:1_{CA555937-6354-4117-8A37-59F0DC2BF0B8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Buku Kas Harian" sheetId="1" r:id="rId1"/>
    <sheet name="Kalkulator Kelayakan Usaha" sheetId="2" r:id="rId2"/>
    <sheet name="Kalkulator Pajak (PPh &amp; PBB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2" l="1"/>
  <c r="B21" i="3"/>
  <c r="B20" i="3"/>
  <c r="B12" i="3"/>
  <c r="B6" i="3"/>
  <c r="B7" i="3" s="1"/>
  <c r="B11" i="2"/>
  <c r="B12" i="2" s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8" i="1"/>
  <c r="G9" i="1" s="1"/>
  <c r="G10" i="1" s="1"/>
  <c r="G11" i="1" s="1"/>
  <c r="G12" i="1" s="1"/>
  <c r="G13" i="1" s="1"/>
  <c r="C5" i="1"/>
  <c r="A5" i="1"/>
  <c r="B22" i="3" l="1"/>
  <c r="B23" i="3" s="1"/>
  <c r="B24" i="3" s="1"/>
  <c r="B13" i="2"/>
  <c r="E5" i="1"/>
  <c r="B18" i="2"/>
  <c r="B20" i="2" s="1"/>
  <c r="B19" i="2" l="1"/>
</calcChain>
</file>

<file path=xl/sharedStrings.xml><?xml version="1.0" encoding="utf-8"?>
<sst xmlns="http://schemas.openxmlformats.org/spreadsheetml/2006/main" count="108" uniqueCount="100">
  <si>
    <t>TEMPLATE PEMBUKUAN KAS HARIAN UMKM / BUMDES</t>
  </si>
  <si>
    <t>Desa Kandeman - Program Pendampingan Administrasi Keuangan</t>
  </si>
  <si>
    <t>TOTAL PEMASUKAN</t>
  </si>
  <si>
    <t>TOTAL PENGELUARAN</t>
  </si>
  <si>
    <t>SALDO KAS SAAT INI</t>
  </si>
  <si>
    <t>Tanggal</t>
  </si>
  <si>
    <t>Jenis Transaksi</t>
  </si>
  <si>
    <t>Kategori</t>
  </si>
  <si>
    <t>Keterangan / Detail Transaksi</t>
  </si>
  <si>
    <t>Masuk (Rp)</t>
  </si>
  <si>
    <t>Keluar (Rp)</t>
  </si>
  <si>
    <t>Saldo (Rp)</t>
  </si>
  <si>
    <t>2026-08-01</t>
  </si>
  <si>
    <t>Pemasukan</t>
  </si>
  <si>
    <t>Penjualan</t>
  </si>
  <si>
    <t>2026-08-02</t>
  </si>
  <si>
    <t>Pengeluaran</t>
  </si>
  <si>
    <t>Bahan Baku</t>
  </si>
  <si>
    <t>2026-08-03</t>
  </si>
  <si>
    <t>Operasional</t>
  </si>
  <si>
    <t>2026-08-05</t>
  </si>
  <si>
    <t>2026-08-07</t>
  </si>
  <si>
    <t>Transportasi</t>
  </si>
  <si>
    <t>KALKULATOR KELAYAKAN BISNIS &amp; SIMULASI USAGA DESA</t>
  </si>
  <si>
    <t>Hitung BEP (Titik Impas), Target Penjualan, Laba Bersih, dan Balik Modal</t>
  </si>
  <si>
    <t>1. BIAYA &amp; HARGA DASAR (INPUT SANGAT DIBUTUHKAN)</t>
  </si>
  <si>
    <t>Investasi Modal Awal Alat/Peralatan</t>
  </si>
  <si>
    <t>Rupiah</t>
  </si>
  <si>
    <t>Sel B5: Diisi Total Modal Awal</t>
  </si>
  <si>
    <t>Biaya Tetap Bulanan (Sewa, Gaji, Listrik, dll)</t>
  </si>
  <si>
    <t>Rupiah / Bulan</t>
  </si>
  <si>
    <t>Sel B6: Diisi Biaya Rutin Bulanan</t>
  </si>
  <si>
    <t>Biaya Variabel per Unit (Bahan Baku &amp; Kemasan)</t>
  </si>
  <si>
    <t>Rupiah / Unit</t>
  </si>
  <si>
    <t>Sel B7: Diisi Modal Produksi per Porsi/Unit</t>
  </si>
  <si>
    <t>Harga Jual per Unit</t>
  </si>
  <si>
    <t>Sel B8: Diisi Harga Jual ke Konsumen</t>
  </si>
  <si>
    <t>2. ANALISIS MINIMAL PENJUALAN (BEP / TITIK IMPAS OTOMATIS)</t>
  </si>
  <si>
    <t>Margin Keuntungan per Unit</t>
  </si>
  <si>
    <t>Sel B11: (Harga Jual - Biaya Variabel)</t>
  </si>
  <si>
    <t>BEP Unit (Penjualan Minimal per Bulan)</t>
  </si>
  <si>
    <t>Sel B12: Minimal unit terjual agar TIDAK RUGI</t>
  </si>
  <si>
    <t>BEP Rupiah (Omzet Minimal per Bulan)</t>
  </si>
  <si>
    <t>Sel B13: Minimal omzet bulanan agar TIDAK RUGI</t>
  </si>
  <si>
    <t>3. SIMULASI TARGET PENJUALAN &amp; PROYEKSI KEUNTUNGAN</t>
  </si>
  <si>
    <t>Target Penjualan Bulanan (Porsi/Unit)</t>
  </si>
  <si>
    <t>Unit / Bulan</t>
  </si>
  <si>
    <t>Isi target penjualan Anda (harus &gt; BEP Unit)</t>
  </si>
  <si>
    <t>Estimasi Total Omzet Bulanan</t>
  </si>
  <si>
    <t>Target Penjualan x Harga Jual</t>
  </si>
  <si>
    <t>Estimasi Laba Bersih Bulanan</t>
  </si>
  <si>
    <t>(Target x Margin) - Biaya Tetap</t>
  </si>
  <si>
    <t>Estimasi Masa Balik Modal (Payback Period)</t>
  </si>
  <si>
    <t>Modal Awal / Laba Bersih Bulanan</t>
  </si>
  <si>
    <t>STATUS KELAYAKAN USAHA</t>
  </si>
  <si>
    <t>Otomatis 'LAYAK' jika Laba Bersih &gt; 0</t>
  </si>
  <si>
    <t>KALKULATOR SIMULASI PAJAK DESA (PPh UMKM/BUMDES &amp; PBB)</t>
  </si>
  <si>
    <t>Edukasi Sadar Pajak untuk Warga, UMKM, dan Perangkat Desa Kandeman</t>
  </si>
  <si>
    <t>A. PPh FINAL UMKM ORANG PRIBADI (TARIF 0.5%)</t>
  </si>
  <si>
    <t>Omzet/Penjualan Kotor Bulanan</t>
  </si>
  <si>
    <t>Estimasi Omzet Setahun</t>
  </si>
  <si>
    <t>Estimasi PPh Terutang per Bulan</t>
  </si>
  <si>
    <t>BEBAS PAJAK jika Omzet Setahun &lt;= Rp500 Juta (Batas PTKP UMKM)</t>
  </si>
  <si>
    <t>B. PPh BADAN / BUMDES (FASILITAS PASAL 31E - DISKON TARIF 11%)</t>
  </si>
  <si>
    <t>Total Omzet Setahun</t>
  </si>
  <si>
    <t>Laba Bersih Sebelum Pajak (Setahun)</t>
  </si>
  <si>
    <t>PPh Badan Terutang Setahun</t>
  </si>
  <si>
    <t>Tarif efektif 11% (diskon 50% dari tarif normal 22% untuk omzet &lt; 4.8M)</t>
  </si>
  <si>
    <t>C. SIMULASI PAJAK BUMI DAN BANGUNAN (PBB-P2) RUMAH / LAHAN</t>
  </si>
  <si>
    <t>Luas Tanah (m2)</t>
  </si>
  <si>
    <t>NJOP Tanah per m2</t>
  </si>
  <si>
    <t>Luas Bangunan (m2)</t>
  </si>
  <si>
    <t>NJOP Bangunan per m2</t>
  </si>
  <si>
    <t>NJOPTKP (Batas Tidak Kena Pajak)</t>
  </si>
  <si>
    <t>Total NJOP Bumi (Tanah)</t>
  </si>
  <si>
    <t>Total NJOP Bangunan</t>
  </si>
  <si>
    <t>Total NJOP Dasaran</t>
  </si>
  <si>
    <t>NJOP Kena Pajak (NJKP)</t>
  </si>
  <si>
    <t>ESTIMASI PBB TERUTANG PER TAHUN</t>
  </si>
  <si>
    <t>Contoh: Penjualan Keripik 50 Porsi</t>
  </si>
  <si>
    <t>Contoh: Beli Minyak Goreng &amp; Singkong</t>
  </si>
  <si>
    <t>Contoh: Beli Plastik Kemasan &amp; Stiker Logo</t>
  </si>
  <si>
    <t>Contoh: Penjualan Keripik 70 Porsi</t>
  </si>
  <si>
    <t>Contoh: Bensin Angkut Bahan Baku</t>
  </si>
  <si>
    <t>Contoh: Rp 5.000.000</t>
  </si>
  <si>
    <t>Contoh: Rp 1.000.000</t>
  </si>
  <si>
    <t>Contoh: Rp 5.000</t>
  </si>
  <si>
    <t>Contoh: Rp 10.000</t>
  </si>
  <si>
    <t>Contoh: 300</t>
  </si>
  <si>
    <t>Contoh: Rp 15.000.000</t>
  </si>
  <si>
    <t>Contoh: Rp 300.000.000</t>
  </si>
  <si>
    <t>Contoh: Rp 45.000.000</t>
  </si>
  <si>
    <t>Contoh: 200</t>
  </si>
  <si>
    <t>Contoh: 200.000</t>
  </si>
  <si>
    <t>Contoh: 70</t>
  </si>
  <si>
    <t>Contoh: 500.000</t>
  </si>
  <si>
    <t>Contoh: 10.000.000</t>
  </si>
  <si>
    <t>Keterangan: #VALUE! Karena angka di dalam table warna kuning masih ada teks/kata kata selain angka</t>
  </si>
  <si>
    <t>Keterangan: Di dalam tabel berwarna selain kuning, biru tua, dan tanpa warna sudah ada rumus untuk menghitung</t>
  </si>
  <si>
    <t>Keterangan: Untuk tabel warna kuning wajib diisi hanya dengan angka agar penghitungan rumus berhasil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</si>
</sst>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p#,##0"/>
    <numFmt numFmtId="165" formatCode="dd/mm/yyyy"/>
    <numFmt numFmtId="166" formatCode="#,##0.0\ &quot;Bulan&quot;"/>
  </numFmts>
  <fonts count="10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9"/>
      <color rgb="FF595959"/>
      <name val="Calibri"/>
    </font>
    <font>
      <b/>
      <sz val="16"/>
      <color rgb="FF375623"/>
      <name val="Calibri"/>
    </font>
    <font>
      <b/>
      <sz val="16"/>
      <color rgb="FFC65911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rgb="FF37562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EDF2F8"/>
      </patternFill>
    </fill>
    <fill>
      <patternFill patternType="solid">
        <fgColor theme="3" tint="0.7999816888943144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6" fillId="2" borderId="1" xfId="0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7" fillId="0" borderId="0" xfId="0" applyFont="1"/>
    <xf numFmtId="0" fontId="9" fillId="4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/>
    <xf numFmtId="164" fontId="9" fillId="4" borderId="1" xfId="0" applyNumberFormat="1" applyFont="1" applyFill="1" applyBorder="1"/>
    <xf numFmtId="0" fontId="3" fillId="0" borderId="0" xfId="0" applyFont="1" applyAlignment="1">
      <alignment horizontal="center" vertical="center"/>
    </xf>
    <xf numFmtId="0" fontId="0" fillId="0" borderId="0" xfId="0"/>
    <xf numFmtId="164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/>
    <xf numFmtId="0" fontId="8" fillId="0" borderId="0" xfId="0" applyFont="1" applyFill="1" applyBorder="1"/>
    <xf numFmtId="3" fontId="8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right" vertical="center"/>
    </xf>
    <xf numFmtId="166" fontId="8" fillId="6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/>
    <xf numFmtId="3" fontId="8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pane ySplit="7" topLeftCell="A8" activePane="bottomLeft" state="frozen"/>
      <selection pane="bottomLeft"/>
    </sheetView>
  </sheetViews>
  <sheetFormatPr defaultRowHeight="15"/>
  <cols>
    <col min="1" max="1" width="45" customWidth="1"/>
    <col min="2" max="2" width="22" customWidth="1"/>
    <col min="3" max="3" width="20" customWidth="1"/>
    <col min="4" max="4" width="45" customWidth="1"/>
    <col min="5" max="5" width="23" customWidth="1"/>
    <col min="6" max="6" width="16" customWidth="1"/>
    <col min="7" max="7" width="47" customWidth="1"/>
  </cols>
  <sheetData>
    <row r="1" spans="1:7" ht="21">
      <c r="A1" s="1" t="s">
        <v>0</v>
      </c>
    </row>
    <row r="2" spans="1:7">
      <c r="A2" s="2" t="s">
        <v>1</v>
      </c>
    </row>
    <row r="4" spans="1:7">
      <c r="A4" s="13" t="s">
        <v>2</v>
      </c>
      <c r="B4" s="14"/>
      <c r="C4" s="13" t="s">
        <v>3</v>
      </c>
      <c r="D4" s="14"/>
      <c r="E4" s="13" t="s">
        <v>4</v>
      </c>
      <c r="F4" s="14"/>
    </row>
    <row r="5" spans="1:7" ht="21">
      <c r="A5" s="16">
        <f>SUM(E8:E100)</f>
        <v>0</v>
      </c>
      <c r="B5" s="14"/>
      <c r="C5" s="15">
        <f>SUM(F8:F100)</f>
        <v>0</v>
      </c>
      <c r="D5" s="14"/>
      <c r="E5" s="17">
        <f>A5-C5</f>
        <v>0</v>
      </c>
      <c r="F5" s="14"/>
    </row>
    <row r="7" spans="1:7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>
      <c r="A8" s="4" t="s">
        <v>12</v>
      </c>
      <c r="B8" s="5" t="s">
        <v>13</v>
      </c>
      <c r="C8" s="5" t="s">
        <v>14</v>
      </c>
      <c r="D8" s="6" t="s">
        <v>79</v>
      </c>
      <c r="E8" s="7">
        <v>0</v>
      </c>
      <c r="F8" s="7">
        <v>0</v>
      </c>
      <c r="G8" s="7">
        <f>E8-F8</f>
        <v>0</v>
      </c>
    </row>
    <row r="9" spans="1:7">
      <c r="A9" s="4" t="s">
        <v>15</v>
      </c>
      <c r="B9" s="5" t="s">
        <v>16</v>
      </c>
      <c r="C9" s="5" t="s">
        <v>17</v>
      </c>
      <c r="D9" s="6" t="s">
        <v>80</v>
      </c>
      <c r="E9" s="7">
        <v>0</v>
      </c>
      <c r="F9" s="7">
        <v>0</v>
      </c>
      <c r="G9" s="7">
        <f t="shared" ref="G9:G40" si="0">IF(AND(E9="",F9=""),"",G8+E9-F9)</f>
        <v>0</v>
      </c>
    </row>
    <row r="10" spans="1:7">
      <c r="A10" s="4" t="s">
        <v>18</v>
      </c>
      <c r="B10" s="5" t="s">
        <v>16</v>
      </c>
      <c r="C10" s="5" t="s">
        <v>19</v>
      </c>
      <c r="D10" s="6" t="s">
        <v>81</v>
      </c>
      <c r="E10" s="7">
        <v>0</v>
      </c>
      <c r="F10" s="7">
        <v>0</v>
      </c>
      <c r="G10" s="7">
        <f t="shared" si="0"/>
        <v>0</v>
      </c>
    </row>
    <row r="11" spans="1:7">
      <c r="A11" s="4" t="s">
        <v>20</v>
      </c>
      <c r="B11" s="5" t="s">
        <v>13</v>
      </c>
      <c r="C11" s="5" t="s">
        <v>14</v>
      </c>
      <c r="D11" s="6" t="s">
        <v>82</v>
      </c>
      <c r="E11" s="7">
        <v>0</v>
      </c>
      <c r="F11" s="7">
        <v>0</v>
      </c>
      <c r="G11" s="7">
        <f t="shared" si="0"/>
        <v>0</v>
      </c>
    </row>
    <row r="12" spans="1:7">
      <c r="A12" s="4" t="s">
        <v>21</v>
      </c>
      <c r="B12" s="5" t="s">
        <v>16</v>
      </c>
      <c r="C12" s="5" t="s">
        <v>22</v>
      </c>
      <c r="D12" s="6" t="s">
        <v>83</v>
      </c>
      <c r="E12" s="7">
        <v>0</v>
      </c>
      <c r="F12" s="7">
        <v>0</v>
      </c>
      <c r="G12" s="7">
        <f t="shared" si="0"/>
        <v>0</v>
      </c>
    </row>
    <row r="13" spans="1:7">
      <c r="A13" s="4"/>
      <c r="B13" s="5"/>
      <c r="C13" s="5"/>
      <c r="D13" s="6"/>
      <c r="E13" s="7"/>
      <c r="F13" s="7"/>
      <c r="G13" s="7" t="str">
        <f t="shared" si="0"/>
        <v/>
      </c>
    </row>
    <row r="14" spans="1:7">
      <c r="A14" s="4"/>
      <c r="B14" s="5"/>
      <c r="C14" s="5"/>
      <c r="D14" s="6"/>
      <c r="E14" s="7"/>
      <c r="F14" s="7"/>
      <c r="G14" s="7" t="str">
        <f t="shared" si="0"/>
        <v/>
      </c>
    </row>
    <row r="15" spans="1:7">
      <c r="A15" s="4"/>
      <c r="B15" s="5"/>
      <c r="C15" s="5"/>
      <c r="D15" s="6"/>
      <c r="E15" s="7"/>
      <c r="F15" s="7"/>
      <c r="G15" s="7" t="str">
        <f t="shared" si="0"/>
        <v/>
      </c>
    </row>
    <row r="16" spans="1:7">
      <c r="A16" s="4"/>
      <c r="B16" s="5"/>
      <c r="C16" s="5"/>
      <c r="D16" s="6"/>
      <c r="E16" s="7"/>
      <c r="F16" s="7"/>
      <c r="G16" s="7" t="str">
        <f t="shared" si="0"/>
        <v/>
      </c>
    </row>
    <row r="17" spans="1:7">
      <c r="A17" s="4"/>
      <c r="B17" s="5"/>
      <c r="C17" s="5"/>
      <c r="D17" s="6"/>
      <c r="E17" s="7"/>
      <c r="F17" s="7"/>
      <c r="G17" s="7" t="str">
        <f t="shared" si="0"/>
        <v/>
      </c>
    </row>
    <row r="18" spans="1:7">
      <c r="A18" s="4"/>
      <c r="B18" s="5"/>
      <c r="C18" s="5"/>
      <c r="D18" s="6"/>
      <c r="E18" s="7"/>
      <c r="F18" s="7"/>
      <c r="G18" s="7" t="str">
        <f t="shared" si="0"/>
        <v/>
      </c>
    </row>
    <row r="19" spans="1:7">
      <c r="A19" s="4"/>
      <c r="B19" s="5"/>
      <c r="C19" s="5"/>
      <c r="D19" s="6"/>
      <c r="E19" s="7"/>
      <c r="F19" s="7"/>
      <c r="G19" s="7" t="str">
        <f t="shared" si="0"/>
        <v/>
      </c>
    </row>
    <row r="20" spans="1:7">
      <c r="A20" s="4"/>
      <c r="B20" s="5"/>
      <c r="C20" s="5"/>
      <c r="D20" s="6"/>
      <c r="E20" s="7"/>
      <c r="F20" s="7"/>
      <c r="G20" s="7" t="str">
        <f t="shared" si="0"/>
        <v/>
      </c>
    </row>
    <row r="21" spans="1:7">
      <c r="A21" s="4"/>
      <c r="B21" s="5"/>
      <c r="C21" s="5"/>
      <c r="D21" s="6"/>
      <c r="E21" s="7"/>
      <c r="F21" s="7"/>
      <c r="G21" s="7" t="str">
        <f t="shared" si="0"/>
        <v/>
      </c>
    </row>
    <row r="22" spans="1:7">
      <c r="A22" s="4"/>
      <c r="B22" s="5"/>
      <c r="C22" s="5"/>
      <c r="D22" s="6"/>
      <c r="E22" s="7"/>
      <c r="F22" s="7"/>
      <c r="G22" s="7" t="str">
        <f t="shared" si="0"/>
        <v/>
      </c>
    </row>
    <row r="23" spans="1:7">
      <c r="A23" s="4"/>
      <c r="B23" s="5"/>
      <c r="C23" s="5"/>
      <c r="D23" s="6"/>
      <c r="E23" s="7"/>
      <c r="F23" s="7"/>
      <c r="G23" s="7" t="str">
        <f t="shared" si="0"/>
        <v/>
      </c>
    </row>
    <row r="24" spans="1:7">
      <c r="A24" s="4"/>
      <c r="B24" s="5"/>
      <c r="C24" s="5"/>
      <c r="D24" s="6"/>
      <c r="E24" s="7"/>
      <c r="F24" s="7"/>
      <c r="G24" s="7" t="str">
        <f t="shared" si="0"/>
        <v/>
      </c>
    </row>
    <row r="25" spans="1:7">
      <c r="A25" s="4"/>
      <c r="B25" s="5"/>
      <c r="C25" s="5"/>
      <c r="D25" s="6"/>
      <c r="E25" s="7"/>
      <c r="F25" s="7"/>
      <c r="G25" s="7" t="str">
        <f t="shared" si="0"/>
        <v/>
      </c>
    </row>
    <row r="26" spans="1:7">
      <c r="A26" s="4"/>
      <c r="B26" s="5"/>
      <c r="C26" s="5"/>
      <c r="D26" s="6"/>
      <c r="E26" s="7"/>
      <c r="F26" s="7"/>
      <c r="G26" s="7" t="str">
        <f t="shared" si="0"/>
        <v/>
      </c>
    </row>
    <row r="27" spans="1:7">
      <c r="A27" s="4"/>
      <c r="B27" s="5"/>
      <c r="C27" s="5"/>
      <c r="D27" s="6"/>
      <c r="E27" s="7"/>
      <c r="F27" s="7"/>
      <c r="G27" s="7" t="str">
        <f t="shared" si="0"/>
        <v/>
      </c>
    </row>
    <row r="28" spans="1:7">
      <c r="A28" s="4"/>
      <c r="B28" s="5"/>
      <c r="C28" s="5"/>
      <c r="D28" s="6"/>
      <c r="E28" s="7"/>
      <c r="F28" s="7"/>
      <c r="G28" s="7" t="str">
        <f t="shared" si="0"/>
        <v/>
      </c>
    </row>
    <row r="29" spans="1:7">
      <c r="A29" s="4"/>
      <c r="B29" s="5"/>
      <c r="C29" s="5"/>
      <c r="D29" s="6"/>
      <c r="E29" s="7"/>
      <c r="F29" s="7"/>
      <c r="G29" s="7" t="str">
        <f t="shared" si="0"/>
        <v/>
      </c>
    </row>
    <row r="30" spans="1:7">
      <c r="A30" s="4"/>
      <c r="B30" s="5"/>
      <c r="C30" s="5"/>
      <c r="D30" s="6"/>
      <c r="E30" s="7"/>
      <c r="F30" s="7"/>
      <c r="G30" s="7" t="str">
        <f t="shared" si="0"/>
        <v/>
      </c>
    </row>
    <row r="31" spans="1:7">
      <c r="A31" s="4"/>
      <c r="B31" s="5"/>
      <c r="C31" s="5"/>
      <c r="D31" s="6"/>
      <c r="E31" s="7"/>
      <c r="F31" s="7"/>
      <c r="G31" s="7" t="str">
        <f t="shared" si="0"/>
        <v/>
      </c>
    </row>
    <row r="32" spans="1:7">
      <c r="A32" s="4"/>
      <c r="B32" s="5"/>
      <c r="C32" s="5"/>
      <c r="D32" s="6"/>
      <c r="E32" s="7"/>
      <c r="F32" s="7"/>
      <c r="G32" s="7" t="str">
        <f t="shared" si="0"/>
        <v/>
      </c>
    </row>
    <row r="33" spans="1:7">
      <c r="A33" s="4"/>
      <c r="B33" s="5"/>
      <c r="C33" s="5"/>
      <c r="D33" s="6"/>
      <c r="E33" s="7"/>
      <c r="F33" s="7"/>
      <c r="G33" s="7" t="str">
        <f t="shared" si="0"/>
        <v/>
      </c>
    </row>
    <row r="34" spans="1:7">
      <c r="A34" s="4"/>
      <c r="B34" s="5"/>
      <c r="C34" s="5"/>
      <c r="D34" s="6"/>
      <c r="E34" s="7"/>
      <c r="F34" s="7"/>
      <c r="G34" s="7" t="str">
        <f t="shared" si="0"/>
        <v/>
      </c>
    </row>
    <row r="35" spans="1:7">
      <c r="A35" s="4"/>
      <c r="B35" s="5"/>
      <c r="C35" s="5"/>
      <c r="D35" s="6"/>
      <c r="E35" s="7"/>
      <c r="F35" s="7"/>
      <c r="G35" s="7" t="str">
        <f t="shared" si="0"/>
        <v/>
      </c>
    </row>
    <row r="36" spans="1:7">
      <c r="A36" s="4"/>
      <c r="B36" s="5"/>
      <c r="C36" s="5"/>
      <c r="D36" s="6"/>
      <c r="E36" s="7"/>
      <c r="F36" s="7"/>
      <c r="G36" s="7" t="str">
        <f t="shared" si="0"/>
        <v/>
      </c>
    </row>
    <row r="37" spans="1:7">
      <c r="A37" s="4"/>
      <c r="B37" s="5"/>
      <c r="C37" s="5"/>
      <c r="D37" s="6"/>
      <c r="E37" s="7"/>
      <c r="F37" s="7"/>
      <c r="G37" s="7" t="str">
        <f t="shared" si="0"/>
        <v/>
      </c>
    </row>
    <row r="38" spans="1:7">
      <c r="A38" s="4"/>
      <c r="B38" s="5"/>
      <c r="C38" s="5"/>
      <c r="D38" s="6"/>
      <c r="E38" s="7"/>
      <c r="F38" s="7"/>
      <c r="G38" s="7" t="str">
        <f t="shared" si="0"/>
        <v/>
      </c>
    </row>
    <row r="39" spans="1:7">
      <c r="A39" s="4"/>
      <c r="B39" s="5"/>
      <c r="C39" s="5"/>
      <c r="D39" s="6"/>
      <c r="E39" s="7"/>
      <c r="F39" s="7"/>
      <c r="G39" s="7" t="str">
        <f t="shared" si="0"/>
        <v/>
      </c>
    </row>
    <row r="40" spans="1:7">
      <c r="A40" s="4"/>
      <c r="B40" s="5"/>
      <c r="C40" s="5"/>
      <c r="D40" s="6"/>
      <c r="E40" s="7"/>
      <c r="F40" s="7"/>
      <c r="G40" s="7" t="str">
        <f t="shared" si="0"/>
        <v/>
      </c>
    </row>
    <row r="41" spans="1:7">
      <c r="A41" s="4"/>
      <c r="B41" s="5"/>
      <c r="C41" s="5"/>
      <c r="D41" s="6"/>
      <c r="E41" s="7"/>
      <c r="F41" s="7"/>
      <c r="G41" s="7" t="str">
        <f t="shared" ref="G41:G72" si="1">IF(AND(E41="",F41=""),"",G40+E41-F41)</f>
        <v/>
      </c>
    </row>
    <row r="42" spans="1:7">
      <c r="A42" s="4"/>
      <c r="B42" s="5"/>
      <c r="C42" s="5"/>
      <c r="D42" s="6"/>
      <c r="E42" s="7"/>
      <c r="F42" s="7"/>
      <c r="G42" s="7" t="str">
        <f t="shared" si="1"/>
        <v/>
      </c>
    </row>
    <row r="43" spans="1:7">
      <c r="A43" s="4"/>
      <c r="B43" s="5"/>
      <c r="C43" s="5"/>
      <c r="D43" s="6"/>
      <c r="E43" s="7"/>
      <c r="F43" s="7"/>
      <c r="G43" s="7" t="str">
        <f t="shared" si="1"/>
        <v/>
      </c>
    </row>
    <row r="44" spans="1:7">
      <c r="A44" s="4"/>
      <c r="B44" s="5"/>
      <c r="C44" s="5"/>
      <c r="D44" s="6"/>
      <c r="E44" s="7"/>
      <c r="F44" s="7"/>
      <c r="G44" s="7" t="str">
        <f t="shared" si="1"/>
        <v/>
      </c>
    </row>
    <row r="45" spans="1:7">
      <c r="A45" s="4"/>
      <c r="B45" s="5"/>
      <c r="C45" s="5"/>
      <c r="D45" s="6"/>
      <c r="E45" s="7"/>
      <c r="F45" s="7"/>
      <c r="G45" s="7" t="str">
        <f t="shared" si="1"/>
        <v/>
      </c>
    </row>
    <row r="46" spans="1:7">
      <c r="A46" s="4"/>
      <c r="B46" s="5"/>
      <c r="C46" s="5"/>
      <c r="D46" s="6"/>
      <c r="E46" s="7"/>
      <c r="F46" s="7"/>
      <c r="G46" s="7" t="str">
        <f t="shared" si="1"/>
        <v/>
      </c>
    </row>
    <row r="47" spans="1:7">
      <c r="A47" s="4"/>
      <c r="B47" s="5"/>
      <c r="C47" s="5"/>
      <c r="D47" s="6"/>
      <c r="E47" s="7"/>
      <c r="F47" s="7"/>
      <c r="G47" s="7" t="str">
        <f t="shared" si="1"/>
        <v/>
      </c>
    </row>
    <row r="48" spans="1:7">
      <c r="A48" s="4"/>
      <c r="B48" s="5"/>
      <c r="C48" s="5"/>
      <c r="D48" s="6"/>
      <c r="E48" s="7"/>
      <c r="F48" s="7"/>
      <c r="G48" s="7" t="str">
        <f t="shared" si="1"/>
        <v/>
      </c>
    </row>
    <row r="49" spans="1:7">
      <c r="A49" s="4"/>
      <c r="B49" s="5"/>
      <c r="C49" s="5"/>
      <c r="D49" s="6"/>
      <c r="E49" s="7"/>
      <c r="F49" s="7"/>
      <c r="G49" s="7" t="str">
        <f t="shared" si="1"/>
        <v/>
      </c>
    </row>
    <row r="50" spans="1:7">
      <c r="A50" s="4"/>
      <c r="B50" s="5"/>
      <c r="C50" s="5"/>
      <c r="D50" s="6"/>
      <c r="E50" s="7"/>
      <c r="F50" s="7"/>
      <c r="G50" s="7" t="str">
        <f t="shared" si="1"/>
        <v/>
      </c>
    </row>
    <row r="51" spans="1:7">
      <c r="A51" s="4"/>
      <c r="B51" s="5"/>
      <c r="C51" s="5"/>
      <c r="D51" s="6"/>
      <c r="E51" s="7"/>
      <c r="F51" s="7"/>
      <c r="G51" s="7" t="str">
        <f t="shared" si="1"/>
        <v/>
      </c>
    </row>
    <row r="52" spans="1:7">
      <c r="A52" s="4"/>
      <c r="B52" s="5"/>
      <c r="C52" s="5"/>
      <c r="D52" s="6"/>
      <c r="E52" s="7"/>
      <c r="F52" s="7"/>
      <c r="G52" s="7" t="str">
        <f t="shared" si="1"/>
        <v/>
      </c>
    </row>
    <row r="53" spans="1:7">
      <c r="A53" s="4"/>
      <c r="B53" s="5"/>
      <c r="C53" s="5"/>
      <c r="D53" s="6"/>
      <c r="E53" s="7"/>
      <c r="F53" s="7"/>
      <c r="G53" s="7" t="str">
        <f t="shared" si="1"/>
        <v/>
      </c>
    </row>
    <row r="54" spans="1:7">
      <c r="A54" s="4"/>
      <c r="B54" s="5"/>
      <c r="C54" s="5"/>
      <c r="D54" s="6"/>
      <c r="E54" s="7"/>
      <c r="F54" s="7"/>
      <c r="G54" s="7" t="str">
        <f t="shared" si="1"/>
        <v/>
      </c>
    </row>
    <row r="55" spans="1:7">
      <c r="A55" s="4"/>
      <c r="B55" s="5"/>
      <c r="C55" s="5"/>
      <c r="D55" s="6"/>
      <c r="E55" s="7"/>
      <c r="F55" s="7"/>
      <c r="G55" s="7" t="str">
        <f t="shared" si="1"/>
        <v/>
      </c>
    </row>
    <row r="56" spans="1:7">
      <c r="A56" s="4"/>
      <c r="B56" s="5"/>
      <c r="C56" s="5"/>
      <c r="D56" s="6"/>
      <c r="E56" s="7"/>
      <c r="F56" s="7"/>
      <c r="G56" s="7" t="str">
        <f t="shared" si="1"/>
        <v/>
      </c>
    </row>
    <row r="57" spans="1:7">
      <c r="A57" s="4"/>
      <c r="B57" s="5"/>
      <c r="C57" s="5"/>
      <c r="D57" s="6"/>
      <c r="E57" s="7"/>
      <c r="F57" s="7"/>
      <c r="G57" s="7" t="str">
        <f t="shared" si="1"/>
        <v/>
      </c>
    </row>
    <row r="58" spans="1:7">
      <c r="A58" s="4"/>
      <c r="B58" s="5"/>
      <c r="C58" s="5"/>
      <c r="D58" s="6"/>
      <c r="E58" s="7"/>
      <c r="F58" s="7"/>
      <c r="G58" s="7" t="str">
        <f t="shared" si="1"/>
        <v/>
      </c>
    </row>
    <row r="59" spans="1:7">
      <c r="A59" s="4"/>
      <c r="B59" s="5"/>
      <c r="C59" s="5"/>
      <c r="D59" s="6"/>
      <c r="E59" s="7"/>
      <c r="F59" s="7"/>
      <c r="G59" s="7" t="str">
        <f t="shared" si="1"/>
        <v/>
      </c>
    </row>
    <row r="60" spans="1:7">
      <c r="A60" s="4"/>
      <c r="B60" s="5"/>
      <c r="C60" s="5"/>
      <c r="D60" s="6"/>
      <c r="E60" s="7"/>
      <c r="F60" s="7"/>
      <c r="G60" s="7" t="str">
        <f t="shared" si="1"/>
        <v/>
      </c>
    </row>
    <row r="61" spans="1:7">
      <c r="A61" s="4"/>
      <c r="B61" s="5"/>
      <c r="C61" s="5"/>
      <c r="D61" s="6"/>
      <c r="E61" s="7"/>
      <c r="F61" s="7"/>
      <c r="G61" s="7" t="str">
        <f t="shared" si="1"/>
        <v/>
      </c>
    </row>
    <row r="62" spans="1:7">
      <c r="A62" s="4"/>
      <c r="B62" s="5"/>
      <c r="C62" s="5"/>
      <c r="D62" s="6"/>
      <c r="E62" s="7"/>
      <c r="F62" s="7"/>
      <c r="G62" s="7" t="str">
        <f t="shared" si="1"/>
        <v/>
      </c>
    </row>
    <row r="63" spans="1:7">
      <c r="A63" s="4"/>
      <c r="B63" s="5"/>
      <c r="C63" s="5"/>
      <c r="D63" s="6"/>
      <c r="E63" s="7"/>
      <c r="F63" s="7"/>
      <c r="G63" s="7" t="str">
        <f t="shared" si="1"/>
        <v/>
      </c>
    </row>
    <row r="64" spans="1:7">
      <c r="A64" s="4"/>
      <c r="B64" s="5"/>
      <c r="C64" s="5"/>
      <c r="D64" s="6"/>
      <c r="E64" s="7"/>
      <c r="F64" s="7"/>
      <c r="G64" s="7" t="str">
        <f t="shared" si="1"/>
        <v/>
      </c>
    </row>
    <row r="65" spans="1:7">
      <c r="A65" s="4"/>
      <c r="B65" s="5"/>
      <c r="C65" s="5"/>
      <c r="D65" s="6"/>
      <c r="E65" s="7"/>
      <c r="F65" s="7"/>
      <c r="G65" s="7" t="str">
        <f t="shared" si="1"/>
        <v/>
      </c>
    </row>
    <row r="66" spans="1:7">
      <c r="A66" s="4"/>
      <c r="B66" s="5"/>
      <c r="C66" s="5"/>
      <c r="D66" s="6"/>
      <c r="E66" s="7"/>
      <c r="F66" s="7"/>
      <c r="G66" s="7" t="str">
        <f t="shared" si="1"/>
        <v/>
      </c>
    </row>
    <row r="67" spans="1:7">
      <c r="A67" s="4"/>
      <c r="B67" s="5"/>
      <c r="C67" s="5"/>
      <c r="D67" s="6"/>
      <c r="E67" s="7"/>
      <c r="F67" s="7"/>
      <c r="G67" s="7" t="str">
        <f t="shared" si="1"/>
        <v/>
      </c>
    </row>
    <row r="68" spans="1:7">
      <c r="A68" s="4"/>
      <c r="B68" s="5"/>
      <c r="C68" s="5"/>
      <c r="D68" s="6"/>
      <c r="E68" s="7"/>
      <c r="F68" s="7"/>
      <c r="G68" s="7" t="str">
        <f t="shared" si="1"/>
        <v/>
      </c>
    </row>
    <row r="69" spans="1:7">
      <c r="A69" s="4"/>
      <c r="B69" s="5"/>
      <c r="C69" s="5"/>
      <c r="D69" s="6"/>
      <c r="E69" s="7"/>
      <c r="F69" s="7"/>
      <c r="G69" s="7" t="str">
        <f t="shared" si="1"/>
        <v/>
      </c>
    </row>
    <row r="70" spans="1:7">
      <c r="A70" s="4"/>
      <c r="B70" s="5"/>
      <c r="C70" s="5"/>
      <c r="D70" s="6"/>
      <c r="E70" s="7"/>
      <c r="F70" s="7"/>
      <c r="G70" s="7" t="str">
        <f t="shared" si="1"/>
        <v/>
      </c>
    </row>
    <row r="71" spans="1:7">
      <c r="A71" s="4"/>
      <c r="B71" s="5"/>
      <c r="C71" s="5"/>
      <c r="D71" s="6"/>
      <c r="E71" s="7"/>
      <c r="F71" s="7"/>
      <c r="G71" s="7" t="str">
        <f t="shared" si="1"/>
        <v/>
      </c>
    </row>
    <row r="72" spans="1:7">
      <c r="A72" s="4"/>
      <c r="B72" s="5"/>
      <c r="C72" s="5"/>
      <c r="D72" s="6"/>
      <c r="E72" s="7"/>
      <c r="F72" s="7"/>
      <c r="G72" s="7" t="str">
        <f t="shared" si="1"/>
        <v/>
      </c>
    </row>
    <row r="73" spans="1:7">
      <c r="A73" s="4"/>
      <c r="B73" s="5"/>
      <c r="C73" s="5"/>
      <c r="D73" s="6"/>
      <c r="E73" s="7"/>
      <c r="F73" s="7"/>
      <c r="G73" s="7" t="str">
        <f t="shared" ref="G73:G104" si="2">IF(AND(E73="",F73=""),"",G72+E73-F73)</f>
        <v/>
      </c>
    </row>
    <row r="74" spans="1:7">
      <c r="A74" s="4"/>
      <c r="B74" s="5"/>
      <c r="C74" s="5"/>
      <c r="D74" s="6"/>
      <c r="E74" s="7"/>
      <c r="F74" s="7"/>
      <c r="G74" s="7" t="str">
        <f t="shared" si="2"/>
        <v/>
      </c>
    </row>
    <row r="75" spans="1:7">
      <c r="A75" s="4"/>
      <c r="B75" s="5"/>
      <c r="C75" s="5"/>
      <c r="D75" s="6"/>
      <c r="E75" s="7"/>
      <c r="F75" s="7"/>
      <c r="G75" s="7" t="str">
        <f t="shared" si="2"/>
        <v/>
      </c>
    </row>
    <row r="76" spans="1:7">
      <c r="A76" s="4"/>
      <c r="B76" s="5"/>
      <c r="C76" s="5"/>
      <c r="D76" s="6"/>
      <c r="E76" s="7"/>
      <c r="F76" s="7"/>
      <c r="G76" s="7" t="str">
        <f t="shared" si="2"/>
        <v/>
      </c>
    </row>
    <row r="77" spans="1:7">
      <c r="A77" s="4"/>
      <c r="B77" s="5"/>
      <c r="C77" s="5"/>
      <c r="D77" s="6"/>
      <c r="E77" s="7"/>
      <c r="F77" s="7"/>
      <c r="G77" s="7" t="str">
        <f t="shared" si="2"/>
        <v/>
      </c>
    </row>
    <row r="78" spans="1:7">
      <c r="A78" s="4"/>
      <c r="B78" s="5"/>
      <c r="C78" s="5"/>
      <c r="D78" s="6"/>
      <c r="E78" s="7"/>
      <c r="F78" s="7"/>
      <c r="G78" s="7" t="str">
        <f t="shared" si="2"/>
        <v/>
      </c>
    </row>
    <row r="79" spans="1:7">
      <c r="A79" s="4"/>
      <c r="B79" s="5"/>
      <c r="C79" s="5"/>
      <c r="D79" s="6"/>
      <c r="E79" s="7"/>
      <c r="F79" s="7"/>
      <c r="G79" s="7" t="str">
        <f t="shared" si="2"/>
        <v/>
      </c>
    </row>
    <row r="80" spans="1:7">
      <c r="A80" s="4"/>
      <c r="B80" s="5"/>
      <c r="C80" s="5"/>
      <c r="D80" s="6"/>
      <c r="E80" s="7"/>
      <c r="F80" s="7"/>
      <c r="G80" s="7" t="str">
        <f t="shared" si="2"/>
        <v/>
      </c>
    </row>
    <row r="81" spans="1:7">
      <c r="A81" s="4"/>
      <c r="B81" s="5"/>
      <c r="C81" s="5"/>
      <c r="D81" s="6"/>
      <c r="E81" s="7"/>
      <c r="F81" s="7"/>
      <c r="G81" s="7" t="str">
        <f t="shared" si="2"/>
        <v/>
      </c>
    </row>
    <row r="82" spans="1:7">
      <c r="A82" s="4"/>
      <c r="B82" s="5"/>
      <c r="C82" s="5"/>
      <c r="D82" s="6"/>
      <c r="E82" s="7"/>
      <c r="F82" s="7"/>
      <c r="G82" s="7" t="str">
        <f t="shared" si="2"/>
        <v/>
      </c>
    </row>
    <row r="83" spans="1:7">
      <c r="A83" s="4"/>
      <c r="B83" s="5"/>
      <c r="C83" s="5"/>
      <c r="D83" s="6"/>
      <c r="E83" s="7"/>
      <c r="F83" s="7"/>
      <c r="G83" s="7" t="str">
        <f t="shared" si="2"/>
        <v/>
      </c>
    </row>
    <row r="84" spans="1:7">
      <c r="A84" s="4"/>
      <c r="B84" s="5"/>
      <c r="C84" s="5"/>
      <c r="D84" s="6"/>
      <c r="E84" s="7"/>
      <c r="F84" s="7"/>
      <c r="G84" s="7" t="str">
        <f t="shared" si="2"/>
        <v/>
      </c>
    </row>
    <row r="85" spans="1:7">
      <c r="A85" s="4"/>
      <c r="B85" s="5"/>
      <c r="C85" s="5"/>
      <c r="D85" s="6"/>
      <c r="E85" s="7"/>
      <c r="F85" s="7"/>
      <c r="G85" s="7" t="str">
        <f t="shared" si="2"/>
        <v/>
      </c>
    </row>
    <row r="86" spans="1:7">
      <c r="A86" s="4"/>
      <c r="B86" s="5"/>
      <c r="C86" s="5"/>
      <c r="D86" s="6"/>
      <c r="E86" s="7"/>
      <c r="F86" s="7"/>
      <c r="G86" s="7" t="str">
        <f t="shared" si="2"/>
        <v/>
      </c>
    </row>
    <row r="87" spans="1:7">
      <c r="A87" s="4"/>
      <c r="B87" s="5"/>
      <c r="C87" s="5"/>
      <c r="D87" s="6"/>
      <c r="E87" s="7"/>
      <c r="F87" s="7"/>
      <c r="G87" s="7" t="str">
        <f t="shared" si="2"/>
        <v/>
      </c>
    </row>
    <row r="88" spans="1:7">
      <c r="A88" s="4"/>
      <c r="B88" s="5"/>
      <c r="C88" s="5"/>
      <c r="D88" s="6"/>
      <c r="E88" s="7"/>
      <c r="F88" s="7"/>
      <c r="G88" s="7" t="str">
        <f t="shared" si="2"/>
        <v/>
      </c>
    </row>
    <row r="89" spans="1:7">
      <c r="A89" s="4"/>
      <c r="B89" s="5"/>
      <c r="C89" s="5"/>
      <c r="D89" s="6"/>
      <c r="E89" s="7"/>
      <c r="F89" s="7"/>
      <c r="G89" s="7" t="str">
        <f t="shared" si="2"/>
        <v/>
      </c>
    </row>
    <row r="90" spans="1:7">
      <c r="A90" s="4"/>
      <c r="B90" s="5"/>
      <c r="C90" s="5"/>
      <c r="D90" s="6"/>
      <c r="E90" s="7"/>
      <c r="F90" s="7"/>
      <c r="G90" s="7" t="str">
        <f t="shared" si="2"/>
        <v/>
      </c>
    </row>
    <row r="91" spans="1:7">
      <c r="A91" s="4"/>
      <c r="B91" s="5"/>
      <c r="C91" s="5"/>
      <c r="D91" s="6"/>
      <c r="E91" s="7"/>
      <c r="F91" s="7"/>
      <c r="G91" s="7" t="str">
        <f t="shared" si="2"/>
        <v/>
      </c>
    </row>
    <row r="92" spans="1:7">
      <c r="A92" s="4"/>
      <c r="B92" s="5"/>
      <c r="C92" s="5"/>
      <c r="D92" s="6"/>
      <c r="E92" s="7"/>
      <c r="F92" s="7"/>
      <c r="G92" s="7" t="str">
        <f t="shared" si="2"/>
        <v/>
      </c>
    </row>
    <row r="93" spans="1:7">
      <c r="A93" s="4"/>
      <c r="B93" s="5"/>
      <c r="C93" s="5"/>
      <c r="D93" s="6"/>
      <c r="E93" s="7"/>
      <c r="F93" s="7"/>
      <c r="G93" s="7" t="str">
        <f t="shared" si="2"/>
        <v/>
      </c>
    </row>
    <row r="94" spans="1:7">
      <c r="A94" s="4"/>
      <c r="B94" s="5"/>
      <c r="C94" s="5"/>
      <c r="D94" s="6"/>
      <c r="E94" s="7"/>
      <c r="F94" s="7"/>
      <c r="G94" s="7" t="str">
        <f t="shared" si="2"/>
        <v/>
      </c>
    </row>
    <row r="95" spans="1:7">
      <c r="A95" s="4"/>
      <c r="B95" s="5"/>
      <c r="C95" s="5"/>
      <c r="D95" s="6"/>
      <c r="E95" s="7"/>
      <c r="F95" s="7"/>
      <c r="G95" s="7" t="str">
        <f t="shared" si="2"/>
        <v/>
      </c>
    </row>
    <row r="96" spans="1:7">
      <c r="A96" s="4"/>
      <c r="B96" s="5"/>
      <c r="C96" s="5"/>
      <c r="D96" s="6"/>
      <c r="E96" s="7"/>
      <c r="F96" s="7"/>
      <c r="G96" s="7" t="str">
        <f t="shared" si="2"/>
        <v/>
      </c>
    </row>
    <row r="97" spans="1:7">
      <c r="A97" s="4"/>
      <c r="B97" s="5"/>
      <c r="C97" s="5"/>
      <c r="D97" s="6"/>
      <c r="E97" s="7"/>
      <c r="F97" s="7"/>
      <c r="G97" s="7" t="str">
        <f t="shared" si="2"/>
        <v/>
      </c>
    </row>
    <row r="98" spans="1:7">
      <c r="A98" s="4"/>
      <c r="B98" s="5"/>
      <c r="C98" s="5"/>
      <c r="D98" s="6"/>
      <c r="E98" s="7"/>
      <c r="F98" s="7"/>
      <c r="G98" s="7" t="str">
        <f t="shared" si="2"/>
        <v/>
      </c>
    </row>
    <row r="99" spans="1:7">
      <c r="A99" s="4"/>
      <c r="B99" s="5"/>
      <c r="C99" s="5"/>
      <c r="D99" s="6"/>
      <c r="E99" s="7"/>
      <c r="F99" s="7"/>
      <c r="G99" s="7" t="str">
        <f t="shared" si="2"/>
        <v/>
      </c>
    </row>
    <row r="100" spans="1:7">
      <c r="A100" s="4"/>
      <c r="B100" s="5"/>
      <c r="C100" s="5"/>
      <c r="D100" s="6"/>
      <c r="E100" s="7"/>
      <c r="F100" s="7"/>
      <c r="G100" s="7" t="str">
        <f t="shared" si="2"/>
        <v/>
      </c>
    </row>
  </sheetData>
  <mergeCells count="6">
    <mergeCell ref="A4:B4"/>
    <mergeCell ref="E4:F4"/>
    <mergeCell ref="C5:D5"/>
    <mergeCell ref="A5:B5"/>
    <mergeCell ref="E5:F5"/>
    <mergeCell ref="C4:D4"/>
  </mergeCells>
  <dataValidations count="2">
    <dataValidation type="list" allowBlank="1" sqref="B8:B100" xr:uid="{00000000-0002-0000-0000-000000000000}">
      <formula1>"Pemasukan,Pengeluaran"</formula1>
    </dataValidation>
    <dataValidation type="list" allowBlank="1" sqref="C8:C100" xr:uid="{00000000-0002-0000-0000-000001000000}">
      <formula1>"Penjualan,Jasa,Bahan Baku,Gaji/Upah,Operasional,Transportasi,Lain-lain"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/>
  </sheetViews>
  <sheetFormatPr defaultRowHeight="15"/>
  <cols>
    <col min="1" max="1" width="45" customWidth="1"/>
    <col min="2" max="2" width="22" customWidth="1"/>
    <col min="3" max="3" width="20" customWidth="1"/>
    <col min="4" max="4" width="45" customWidth="1"/>
  </cols>
  <sheetData>
    <row r="1" spans="1:4" ht="21">
      <c r="A1" s="1" t="s">
        <v>23</v>
      </c>
    </row>
    <row r="2" spans="1:4">
      <c r="A2" s="2" t="s">
        <v>24</v>
      </c>
    </row>
    <row r="4" spans="1:4">
      <c r="A4" s="18" t="s">
        <v>25</v>
      </c>
      <c r="B4" s="14"/>
      <c r="C4" s="14"/>
      <c r="D4" s="14"/>
    </row>
    <row r="5" spans="1:4">
      <c r="A5" s="8" t="s">
        <v>26</v>
      </c>
      <c r="B5" s="22" t="s">
        <v>84</v>
      </c>
      <c r="C5" s="9" t="s">
        <v>27</v>
      </c>
      <c r="D5" s="2" t="s">
        <v>28</v>
      </c>
    </row>
    <row r="6" spans="1:4">
      <c r="A6" s="8" t="s">
        <v>29</v>
      </c>
      <c r="B6" s="22" t="s">
        <v>85</v>
      </c>
      <c r="C6" s="9" t="s">
        <v>30</v>
      </c>
      <c r="D6" s="2" t="s">
        <v>31</v>
      </c>
    </row>
    <row r="7" spans="1:4">
      <c r="A7" s="8" t="s">
        <v>32</v>
      </c>
      <c r="B7" s="22" t="s">
        <v>86</v>
      </c>
      <c r="C7" s="9" t="s">
        <v>33</v>
      </c>
      <c r="D7" s="2" t="s">
        <v>34</v>
      </c>
    </row>
    <row r="8" spans="1:4">
      <c r="A8" s="8" t="s">
        <v>35</v>
      </c>
      <c r="B8" s="22" t="s">
        <v>87</v>
      </c>
      <c r="C8" s="9" t="s">
        <v>33</v>
      </c>
      <c r="D8" s="2" t="s">
        <v>36</v>
      </c>
    </row>
    <row r="10" spans="1:4">
      <c r="A10" s="18" t="s">
        <v>37</v>
      </c>
      <c r="B10" s="14"/>
      <c r="C10" s="14"/>
      <c r="D10" s="14"/>
    </row>
    <row r="11" spans="1:4">
      <c r="A11" s="8" t="s">
        <v>38</v>
      </c>
      <c r="B11" s="23" t="e">
        <f>B8-B7</f>
        <v>#VALUE!</v>
      </c>
      <c r="D11" s="2" t="s">
        <v>39</v>
      </c>
    </row>
    <row r="12" spans="1:4">
      <c r="A12" s="8" t="s">
        <v>40</v>
      </c>
      <c r="B12" s="24" t="e">
        <f>B6/B11</f>
        <v>#VALUE!</v>
      </c>
      <c r="D12" s="2" t="s">
        <v>41</v>
      </c>
    </row>
    <row r="13" spans="1:4">
      <c r="A13" s="8" t="s">
        <v>42</v>
      </c>
      <c r="B13" s="23" t="e">
        <f>B12*B8</f>
        <v>#VALUE!</v>
      </c>
      <c r="D13" s="2" t="s">
        <v>43</v>
      </c>
    </row>
    <row r="15" spans="1:4">
      <c r="A15" s="18" t="s">
        <v>44</v>
      </c>
      <c r="B15" s="14"/>
      <c r="C15" s="14"/>
      <c r="D15" s="14"/>
    </row>
    <row r="16" spans="1:4">
      <c r="A16" s="8" t="s">
        <v>45</v>
      </c>
      <c r="B16" s="21" t="s">
        <v>88</v>
      </c>
      <c r="C16" s="9" t="s">
        <v>46</v>
      </c>
      <c r="D16" s="2" t="s">
        <v>47</v>
      </c>
    </row>
    <row r="17" spans="1:4">
      <c r="A17" s="8" t="s">
        <v>48</v>
      </c>
      <c r="B17" s="23" t="e">
        <f>B16*B8</f>
        <v>#VALUE!</v>
      </c>
      <c r="D17" s="2" t="s">
        <v>49</v>
      </c>
    </row>
    <row r="18" spans="1:4">
      <c r="A18" s="8" t="s">
        <v>50</v>
      </c>
      <c r="B18" s="23" t="e">
        <f>(B16*B11)-B6</f>
        <v>#VALUE!</v>
      </c>
      <c r="D18" s="2" t="s">
        <v>51</v>
      </c>
    </row>
    <row r="19" spans="1:4">
      <c r="A19" s="8" t="s">
        <v>52</v>
      </c>
      <c r="B19" s="25" t="e">
        <f>IF(B18&gt;0, B5/B18, "TIDAK BALIK MODAL")</f>
        <v>#VALUE!</v>
      </c>
      <c r="D19" s="2" t="s">
        <v>53</v>
      </c>
    </row>
    <row r="20" spans="1:4">
      <c r="A20" s="8" t="s">
        <v>54</v>
      </c>
      <c r="B20" s="10" t="e">
        <f>IF(B18&gt;0, "LAYAK / PROSPEKTIF", "TIDAK LAYAK / RUGI")</f>
        <v>#VALUE!</v>
      </c>
      <c r="D20" s="2" t="s">
        <v>55</v>
      </c>
    </row>
    <row r="22" spans="1:4">
      <c r="A22" s="20" t="s">
        <v>97</v>
      </c>
    </row>
    <row r="23" spans="1:4">
      <c r="A23" s="20" t="s">
        <v>98</v>
      </c>
    </row>
    <row r="24" spans="1:4">
      <c r="A24" s="20" t="s">
        <v>99</v>
      </c>
    </row>
  </sheetData>
  <mergeCells count="3">
    <mergeCell ref="A10:D10"/>
    <mergeCell ref="A4:D4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5"/>
  <cols>
    <col min="1" max="1" width="45" customWidth="1"/>
    <col min="2" max="2" width="22" customWidth="1"/>
    <col min="3" max="3" width="20" customWidth="1"/>
    <col min="4" max="4" width="45" customWidth="1"/>
  </cols>
  <sheetData>
    <row r="1" spans="1:4" ht="21">
      <c r="A1" s="1" t="s">
        <v>56</v>
      </c>
    </row>
    <row r="2" spans="1:4">
      <c r="A2" s="2" t="s">
        <v>57</v>
      </c>
    </row>
    <row r="4" spans="1:4">
      <c r="A4" s="19" t="s">
        <v>58</v>
      </c>
      <c r="B4" s="14"/>
      <c r="C4" s="14"/>
      <c r="D4" s="14"/>
    </row>
    <row r="5" spans="1:4">
      <c r="A5" s="8" t="s">
        <v>59</v>
      </c>
      <c r="B5" s="26" t="s">
        <v>89</v>
      </c>
    </row>
    <row r="6" spans="1:4">
      <c r="A6" s="8" t="s">
        <v>60</v>
      </c>
      <c r="B6" s="11" t="e">
        <f>B5*12</f>
        <v>#VALUE!</v>
      </c>
    </row>
    <row r="7" spans="1:4">
      <c r="A7" s="8" t="s">
        <v>61</v>
      </c>
      <c r="B7" s="12" t="e">
        <f>IF(B6&lt;=500000000, 0, ((B6-500000000)*0.005)/12)</f>
        <v>#VALUE!</v>
      </c>
      <c r="D7" s="2" t="s">
        <v>62</v>
      </c>
    </row>
    <row r="9" spans="1:4">
      <c r="A9" s="19" t="s">
        <v>63</v>
      </c>
      <c r="B9" s="14"/>
      <c r="C9" s="14"/>
      <c r="D9" s="14"/>
    </row>
    <row r="10" spans="1:4">
      <c r="A10" s="8" t="s">
        <v>64</v>
      </c>
      <c r="B10" s="26" t="s">
        <v>90</v>
      </c>
    </row>
    <row r="11" spans="1:4">
      <c r="A11" s="8" t="s">
        <v>65</v>
      </c>
      <c r="B11" s="26" t="s">
        <v>91</v>
      </c>
    </row>
    <row r="12" spans="1:4">
      <c r="A12" s="8" t="s">
        <v>66</v>
      </c>
      <c r="B12" s="11" t="str">
        <f>IF(B10&lt;=4800000000, B11*0.11, "Gunakan perhitungan pasal 31E proporsional")</f>
        <v>Gunakan perhitungan pasal 31E proporsional</v>
      </c>
      <c r="D12" s="2" t="s">
        <v>67</v>
      </c>
    </row>
    <row r="14" spans="1:4">
      <c r="A14" s="19" t="s">
        <v>68</v>
      </c>
      <c r="B14" s="14"/>
      <c r="C14" s="14"/>
      <c r="D14" s="14"/>
    </row>
    <row r="15" spans="1:4">
      <c r="A15" s="8" t="s">
        <v>69</v>
      </c>
      <c r="B15" s="27" t="s">
        <v>92</v>
      </c>
    </row>
    <row r="16" spans="1:4">
      <c r="A16" s="8" t="s">
        <v>70</v>
      </c>
      <c r="B16" s="26" t="s">
        <v>93</v>
      </c>
    </row>
    <row r="17" spans="1:2">
      <c r="A17" s="8" t="s">
        <v>71</v>
      </c>
      <c r="B17" s="27" t="s">
        <v>94</v>
      </c>
    </row>
    <row r="18" spans="1:2">
      <c r="A18" s="8" t="s">
        <v>72</v>
      </c>
      <c r="B18" s="26" t="s">
        <v>95</v>
      </c>
    </row>
    <row r="19" spans="1:2">
      <c r="A19" s="8" t="s">
        <v>73</v>
      </c>
      <c r="B19" s="26" t="s">
        <v>96</v>
      </c>
    </row>
    <row r="20" spans="1:2">
      <c r="A20" s="8" t="s">
        <v>74</v>
      </c>
      <c r="B20" s="11" t="e">
        <f>B15*B16</f>
        <v>#VALUE!</v>
      </c>
    </row>
    <row r="21" spans="1:2">
      <c r="A21" s="8" t="s">
        <v>75</v>
      </c>
      <c r="B21" s="11" t="e">
        <f>B17*B18</f>
        <v>#VALUE!</v>
      </c>
    </row>
    <row r="22" spans="1:2">
      <c r="A22" s="8" t="s">
        <v>76</v>
      </c>
      <c r="B22" s="11" t="e">
        <f>B20+B21</f>
        <v>#VALUE!</v>
      </c>
    </row>
    <row r="23" spans="1:2">
      <c r="A23" s="8" t="s">
        <v>77</v>
      </c>
      <c r="B23" s="11" t="e">
        <f>MAX(0, B22-B19)</f>
        <v>#VALUE!</v>
      </c>
    </row>
    <row r="24" spans="1:2">
      <c r="A24" s="8" t="s">
        <v>78</v>
      </c>
      <c r="B24" s="12" t="e">
        <f>B23*0.001</f>
        <v>#VALUE!</v>
      </c>
    </row>
    <row r="26" spans="1:2">
      <c r="A26" s="20" t="s">
        <v>97</v>
      </c>
    </row>
    <row r="27" spans="1:2">
      <c r="A27" s="20" t="s">
        <v>98</v>
      </c>
    </row>
    <row r="28" spans="1:2">
      <c r="A28" s="20" t="s">
        <v>99</v>
      </c>
    </row>
  </sheetData>
  <mergeCells count="3">
    <mergeCell ref="A4:D4"/>
    <mergeCell ref="A9:D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Buku Kas Harian</vt:lpstr>
      <vt:lpstr>Kalkulator Kelayakan Usaha</vt:lpstr>
      <vt:lpstr>Kalkulator Pajak (PPh &amp; PBB)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2026-08-10T04:55:56Z</dcterms:created>
  <dcterms:modified xsi:type="dcterms:W3CDTF">2026-08-10T05:25:16Z</dcterms:modified>
</cp:coreProperties>
</file>